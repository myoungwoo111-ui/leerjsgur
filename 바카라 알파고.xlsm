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Hp\Desktop\ssssss\"/>
    </mc:Choice>
  </mc:AlternateContent>
  <xr:revisionPtr revIDLastSave="0" documentId="13_ncr:1_{1EF884D5-6BCD-4752-8960-7F98135B1827}" xr6:coauthVersionLast="47" xr6:coauthVersionMax="47" xr10:uidLastSave="{00000000-0000-0000-0000-000000000000}"/>
  <bookViews>
    <workbookView xWindow="-108" yWindow="-108" windowWidth="23256" windowHeight="12456" xr2:uid="{B3D4FF63-97F5-42B4-ABF1-8FD3C4C62D94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1" l="1"/>
  <c r="G23" i="1"/>
  <c r="G24" i="1"/>
  <c r="G25" i="1"/>
  <c r="G26" i="1"/>
  <c r="G27" i="1"/>
  <c r="G28" i="1"/>
  <c r="G29" i="1"/>
  <c r="G30" i="1"/>
  <c r="G31" i="1"/>
  <c r="I5" i="1"/>
  <c r="J23" i="1"/>
  <c r="J24" i="1"/>
  <c r="J25" i="1"/>
  <c r="J26" i="1"/>
  <c r="J27" i="1"/>
  <c r="J28" i="1"/>
  <c r="J29" i="1"/>
  <c r="J30" i="1"/>
  <c r="J31" i="1"/>
  <c r="I23" i="1"/>
  <c r="I24" i="1"/>
  <c r="I25" i="1"/>
  <c r="I26" i="1"/>
  <c r="I27" i="1"/>
  <c r="I28" i="1"/>
  <c r="I29" i="1"/>
  <c r="I30" i="1"/>
  <c r="I31" i="1"/>
  <c r="H23" i="1"/>
  <c r="H24" i="1"/>
  <c r="H25" i="1"/>
  <c r="H26" i="1"/>
  <c r="H27" i="1"/>
  <c r="H28" i="1"/>
  <c r="H29" i="1"/>
  <c r="H30" i="1"/>
  <c r="H31" i="1"/>
  <c r="J22" i="1"/>
  <c r="I22" i="1"/>
  <c r="H22" i="1"/>
  <c r="F23" i="1"/>
  <c r="F24" i="1"/>
  <c r="F25" i="1"/>
  <c r="F26" i="1"/>
  <c r="F27" i="1"/>
  <c r="F28" i="1"/>
  <c r="F29" i="1"/>
  <c r="F30" i="1"/>
  <c r="F31" i="1"/>
  <c r="F22" i="1"/>
  <c r="E23" i="1"/>
  <c r="E24" i="1"/>
  <c r="E25" i="1"/>
  <c r="E26" i="1"/>
  <c r="E27" i="1"/>
  <c r="E28" i="1"/>
  <c r="E29" i="1"/>
  <c r="E30" i="1"/>
  <c r="E31" i="1"/>
  <c r="E22" i="1"/>
  <c r="D23" i="1"/>
  <c r="D24" i="1"/>
  <c r="D25" i="1"/>
  <c r="D26" i="1"/>
  <c r="D27" i="1"/>
  <c r="D28" i="1"/>
  <c r="D29" i="1"/>
  <c r="D30" i="1"/>
  <c r="D31" i="1"/>
  <c r="D22" i="1"/>
  <c r="C23" i="1"/>
  <c r="C24" i="1"/>
  <c r="C25" i="1"/>
  <c r="C26" i="1"/>
  <c r="C27" i="1"/>
  <c r="C28" i="1"/>
  <c r="C29" i="1"/>
  <c r="C30" i="1"/>
  <c r="C31" i="1"/>
  <c r="C22" i="1"/>
  <c r="H5" i="1"/>
  <c r="L5" i="1" l="1"/>
  <c r="K5" i="1"/>
  <c r="C17" i="1"/>
  <c r="E17" i="1"/>
  <c r="C18" i="1"/>
</calcChain>
</file>

<file path=xl/sharedStrings.xml><?xml version="1.0" encoding="utf-8"?>
<sst xmlns="http://schemas.openxmlformats.org/spreadsheetml/2006/main" count="51" uniqueCount="25">
  <si>
    <t>단계</t>
    <phoneticPr fontId="1" type="noConversion"/>
  </si>
  <si>
    <t>1번패터</t>
    <phoneticPr fontId="1" type="noConversion"/>
  </si>
  <si>
    <t>2번패턴</t>
    <phoneticPr fontId="1" type="noConversion"/>
  </si>
  <si>
    <t>배팅금액</t>
    <phoneticPr fontId="1" type="noConversion"/>
  </si>
  <si>
    <t>뱅커</t>
    <phoneticPr fontId="1" type="noConversion"/>
  </si>
  <si>
    <t>플레이어</t>
    <phoneticPr fontId="1" type="noConversion"/>
  </si>
  <si>
    <t>결과</t>
    <phoneticPr fontId="1" type="noConversion"/>
  </si>
  <si>
    <t>회차</t>
    <phoneticPr fontId="1" type="noConversion"/>
  </si>
  <si>
    <t>입력 결과</t>
    <phoneticPr fontId="1" type="noConversion"/>
  </si>
  <si>
    <t>1번</t>
    <phoneticPr fontId="1" type="noConversion"/>
  </si>
  <si>
    <t>2번</t>
    <phoneticPr fontId="1" type="noConversion"/>
  </si>
  <si>
    <t>3번</t>
  </si>
  <si>
    <t>5번</t>
  </si>
  <si>
    <t>6번</t>
  </si>
  <si>
    <t>9번</t>
  </si>
  <si>
    <t>4번</t>
    <phoneticPr fontId="1" type="noConversion"/>
  </si>
  <si>
    <t>배팅금</t>
    <phoneticPr fontId="1" type="noConversion"/>
  </si>
  <si>
    <t>8번</t>
    <phoneticPr fontId="1" type="noConversion"/>
  </si>
  <si>
    <t>7번</t>
    <phoneticPr fontId="1" type="noConversion"/>
  </si>
  <si>
    <t>분석값</t>
    <phoneticPr fontId="1" type="noConversion"/>
  </si>
  <si>
    <t>플레이어</t>
  </si>
  <si>
    <t>패스</t>
  </si>
  <si>
    <t>P</t>
  </si>
  <si>
    <t>뱅커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</si>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</sst>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rgb="FF2C3E5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FFFF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CF0F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ck">
        <color rgb="FFFFFFFF"/>
      </left>
      <right style="thick">
        <color rgb="FF95A5A6"/>
      </right>
      <top style="thick">
        <color rgb="FFFFFFFF"/>
      </top>
      <bottom style="thick">
        <color rgb="FF95A5A6"/>
      </bottom>
      <diagonal/>
    </border>
    <border>
      <left style="thick">
        <color rgb="FFFFFFFF"/>
      </left>
      <right/>
      <top style="thick">
        <color rgb="FFFFFFFF"/>
      </top>
      <bottom style="thick">
        <color rgb="FF95A5A6"/>
      </bottom>
      <diagonal/>
    </border>
    <border>
      <left/>
      <right/>
      <top style="thick">
        <color rgb="FFFFFFFF"/>
      </top>
      <bottom style="thick">
        <color rgb="FF95A5A6"/>
      </bottom>
      <diagonal/>
    </border>
    <border>
      <left/>
      <right style="thick">
        <color rgb="FF95A5A6"/>
      </right>
      <top style="thick">
        <color rgb="FFFFFFFF"/>
      </top>
      <bottom style="thick">
        <color rgb="FF95A5A6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38" fontId="2" fillId="0" borderId="0" xfId="0" applyNumberFormat="1" applyFont="1" applyAlignment="1">
      <alignment horizontal="center" vertical="center"/>
    </xf>
    <xf numFmtId="38" fontId="3" fillId="0" borderId="0" xfId="0" applyNumberFormat="1" applyFont="1" applyAlignment="1">
      <alignment horizontal="center" vertical="center"/>
    </xf>
    <xf numFmtId="38" fontId="4" fillId="0" borderId="0" xfId="0" applyNumberFormat="1" applyFont="1" applyAlignment="1">
      <alignment horizontal="center" vertical="center"/>
    </xf>
    <xf numFmtId="38" fontId="5" fillId="2" borderId="1" xfId="0" applyNumberFormat="1" applyFont="1" applyFill="1" applyBorder="1" applyAlignment="1">
      <alignment horizontal="center" vertical="center"/>
    </xf>
    <xf numFmtId="38" fontId="5" fillId="2" borderId="2" xfId="0" applyNumberFormat="1" applyFont="1" applyFill="1" applyBorder="1" applyAlignment="1">
      <alignment horizontal="center" vertical="center"/>
    </xf>
    <xf numFmtId="38" fontId="5" fillId="2" borderId="3" xfId="0" applyNumberFormat="1" applyFont="1" applyFill="1" applyBorder="1" applyAlignment="1">
      <alignment horizontal="center" vertical="center"/>
    </xf>
    <xf numFmtId="38" fontId="5" fillId="2" borderId="4" xfId="0" applyNumberFormat="1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</cellXfs>
  <cellStyles count="1">
    <cellStyle name="표준" xfId="0" builtinId="0"/>
  </cellStyles>
  <dxfs count="3">
    <dxf>
      <font>
        <color theme="3" tint="0.24994659260841701"/>
      </font>
    </dxf>
    <dxf>
      <font>
        <color rgb="FFC00000"/>
      </font>
    </dxf>
    <dxf>
      <font>
        <color theme="3" tint="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</xdr:row>
          <xdr:rowOff>7620</xdr:rowOff>
        </xdr:from>
        <xdr:to>
          <xdr:col>6</xdr:col>
          <xdr:colOff>426720</xdr:colOff>
          <xdr:row>2</xdr:row>
          <xdr:rowOff>198120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624840</xdr:colOff>
          <xdr:row>1</xdr:row>
          <xdr:rowOff>15240</xdr:rowOff>
        </xdr:from>
        <xdr:to>
          <xdr:col>13</xdr:col>
          <xdr:colOff>403860</xdr:colOff>
          <xdr:row>2</xdr:row>
          <xdr:rowOff>213360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617220</xdr:colOff>
      <xdr:row>1</xdr:row>
      <xdr:rowOff>7620</xdr:rowOff>
    </xdr:from>
    <xdr:to>
      <xdr:col>8</xdr:col>
      <xdr:colOff>243840</xdr:colOff>
      <xdr:row>2</xdr:row>
      <xdr:rowOff>190500</xdr:rowOff>
    </xdr:to>
    <xdr:sp macro="[0]!입력_플레이어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F89630A-EA24-ECD1-7D0D-A4C56AF0ACBC}"/>
            </a:ext>
          </a:extLst>
        </xdr:cNvPr>
        <xdr:cNvSpPr/>
      </xdr:nvSpPr>
      <xdr:spPr>
        <a:xfrm>
          <a:off x="4640580" y="160020"/>
          <a:ext cx="967740" cy="4038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플레이어</a:t>
          </a:r>
          <a:endParaRPr lang="en-US" altLang="ko-KR" sz="1100"/>
        </a:p>
      </xdr:txBody>
    </xdr:sp>
    <xdr:clientData/>
  </xdr:twoCellAnchor>
  <xdr:twoCellAnchor>
    <xdr:from>
      <xdr:col>8</xdr:col>
      <xdr:colOff>381000</xdr:colOff>
      <xdr:row>1</xdr:row>
      <xdr:rowOff>7620</xdr:rowOff>
    </xdr:from>
    <xdr:to>
      <xdr:col>10</xdr:col>
      <xdr:colOff>15240</xdr:colOff>
      <xdr:row>2</xdr:row>
      <xdr:rowOff>198120</xdr:rowOff>
    </xdr:to>
    <xdr:sp macro="[0]!입력_뱅커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4355CC2F-BBBC-DBA5-0A51-FDA0A82734FD}"/>
            </a:ext>
          </a:extLst>
        </xdr:cNvPr>
        <xdr:cNvSpPr/>
      </xdr:nvSpPr>
      <xdr:spPr>
        <a:xfrm>
          <a:off x="5745480" y="160020"/>
          <a:ext cx="975360" cy="4114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뱅커</a:t>
          </a:r>
        </a:p>
      </xdr:txBody>
    </xdr:sp>
    <xdr:clientData/>
  </xdr:twoCellAnchor>
  <xdr:twoCellAnchor>
    <xdr:from>
      <xdr:col>10</xdr:col>
      <xdr:colOff>152400</xdr:colOff>
      <xdr:row>1</xdr:row>
      <xdr:rowOff>7620</xdr:rowOff>
    </xdr:from>
    <xdr:to>
      <xdr:col>11</xdr:col>
      <xdr:colOff>487680</xdr:colOff>
      <xdr:row>2</xdr:row>
      <xdr:rowOff>198120</xdr:rowOff>
    </xdr:to>
    <xdr:sp macro="[0]!뒤로가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C936478F-75B2-02A8-6B9B-D8A4C344936C}"/>
            </a:ext>
          </a:extLst>
        </xdr:cNvPr>
        <xdr:cNvSpPr/>
      </xdr:nvSpPr>
      <xdr:spPr>
        <a:xfrm>
          <a:off x="6858000" y="160020"/>
          <a:ext cx="1005840" cy="4114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뒤로가기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9C83D-D595-4955-91B2-1E7ADD0F4955}">
  <sheetPr codeName="Sheet1"/>
  <dimension ref="A1:BF270"/>
  <sheetViews>
    <sheetView tabSelected="1" workbookViewId="0">
      <selection activeCell="E21" sqref="E21"/>
    </sheetView>
  </sheetViews>
  <sheetFormatPr defaultRowHeight="17.399999999999999" x14ac:dyDescent="0.4"/>
  <cols>
    <col min="2" max="2" width="10.69921875" customWidth="1"/>
    <col min="3" max="3" width="15.8984375" customWidth="1"/>
    <col min="4" max="11" width="10.69921875" customWidth="1"/>
  </cols>
  <sheetData>
    <row r="1" spans="1:58" ht="12" customHeigh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</row>
    <row r="2" spans="1:58" x14ac:dyDescent="0.4">
      <c r="A2" s="2"/>
      <c r="B2" s="2"/>
      <c r="C2" s="2" t="s">
        <v>16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</row>
    <row r="3" spans="1:58" x14ac:dyDescent="0.4">
      <c r="A3" s="2"/>
      <c r="B3" s="2"/>
      <c r="C3" s="2">
        <v>36000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</row>
    <row r="4" spans="1:58" x14ac:dyDescent="0.4">
      <c r="A4" s="2"/>
      <c r="B4" s="2"/>
      <c r="C4" s="2"/>
      <c r="D4" s="2"/>
      <c r="E4" s="2"/>
      <c r="F4" s="2"/>
      <c r="G4" s="2"/>
      <c r="H4" s="2">
        <v>1</v>
      </c>
      <c r="I4" s="2">
        <v>1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</row>
    <row r="5" spans="1:58" x14ac:dyDescent="0.4">
      <c r="A5" s="2"/>
      <c r="B5" s="2" t="s">
        <v>0</v>
      </c>
      <c r="C5" s="2" t="s">
        <v>1</v>
      </c>
      <c r="D5" s="2" t="s">
        <v>2</v>
      </c>
      <c r="E5" s="2" t="s">
        <v>3</v>
      </c>
      <c r="F5" s="2"/>
      <c r="G5" s="2" t="s">
        <v>4</v>
      </c>
      <c r="H5" s="2">
        <f>IF($G$5=VLOOKUP(H4, $B$6:$E$15, 2, 0), 1, MIN(H4 + 1, 10))</f>
        <v>2</v>
      </c>
      <c r="I5" s="2">
        <f>IF($G$5=VLOOKUP(H4, $B$6:$E$15, 2, 0), 1, MIN(H4 + 1, 10))</f>
        <v>2</v>
      </c>
      <c r="J5" s="2"/>
      <c r="K5" s="2">
        <f>IF((VLOOKUP(H5, $B$6:$E$15, 4, 0) + VLOOKUP(I5, $B$6:$E$15, 4, 0)) = 0, "패스", VLOOKUP(H5, $B$6:$E$15, 4, 0) + VLOOKUP(I5, $B$6:$E$15, 4, 0))</f>
        <v>24000</v>
      </c>
      <c r="L5" s="2" t="str">
        <f>IF(VLOOKUP(H5, $B$6:$E$15, 2, 0) = VLOOKUP(I5, $B$6:$E$15, 3, 0),
    IF((VLOOKUP(H5, $B$6:$E$15, 4, 0) + VLOOKUP(I5, $B$6:$E$15, 4, 0))=0, "패스", VLOOKUP(H5, $B$6:$E$15, 4, 0) + VLOOKUP(I5, $B$6:$E$15, 4, 0)),
    IF(ABS(VLOOKUP(H5, $B$6:$E$15, 4, 0) - VLOOKUP(I5, $B$6:$E$15, 4, 0))=0, "패스", ABS(VLOOKUP(H5, $B$6:$E$15, 4, 0) - VLOOKUP(I5, $B$6:$E$15, 4, 0))))</f>
        <v>패스</v>
      </c>
      <c r="M5" s="1"/>
      <c r="N5" s="2" t="s">
        <v>19</v>
      </c>
      <c r="O5" s="2" t="s">
        <v>7</v>
      </c>
      <c r="P5" s="2" t="s">
        <v>8</v>
      </c>
      <c r="Q5" s="2">
        <v>1</v>
      </c>
      <c r="R5" s="2">
        <v>1</v>
      </c>
      <c r="S5" s="2" t="s">
        <v>16</v>
      </c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</row>
    <row r="6" spans="1:58" x14ac:dyDescent="0.4">
      <c r="A6" s="2"/>
      <c r="B6" s="2">
        <v>1</v>
      </c>
      <c r="C6" s="2" t="s">
        <v>5</v>
      </c>
      <c r="D6" s="2" t="s">
        <v>4</v>
      </c>
      <c r="E6" s="2">
        <v>4000</v>
      </c>
      <c r="F6" s="2"/>
      <c r="G6" s="2"/>
      <c r="H6" s="2"/>
      <c r="I6" s="2"/>
      <c r="J6" s="2"/>
      <c r="K6" s="2"/>
      <c r="L6" s="2"/>
      <c r="M6" s="4"/>
      <c r="N6" s="2"/>
      <c r="O6" s="2">
        <v>1</v>
      </c>
      <c r="P6" s="2" t="s">
        <v>23</v>
      </c>
      <c r="Q6" s="2">
        <v>2</v>
      </c>
      <c r="R6" s="2">
        <v>1</v>
      </c>
      <c r="S6" s="2" t="s">
        <v>21</v>
      </c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</row>
    <row r="7" spans="1:58" x14ac:dyDescent="0.4">
      <c r="A7" s="2"/>
      <c r="B7" s="2">
        <v>2</v>
      </c>
      <c r="C7" s="2" t="s">
        <v>5</v>
      </c>
      <c r="D7" s="2" t="s">
        <v>4</v>
      </c>
      <c r="E7" s="2">
        <v>12000</v>
      </c>
      <c r="F7" s="2"/>
      <c r="G7" s="2"/>
      <c r="H7" s="2"/>
      <c r="I7" s="2"/>
      <c r="J7" s="2"/>
      <c r="K7" s="2"/>
      <c r="L7" s="2"/>
      <c r="M7" s="4"/>
      <c r="N7" s="2" t="s">
        <v>4</v>
      </c>
      <c r="O7" s="2">
        <v>2</v>
      </c>
      <c r="P7" s="2" t="s">
        <v>20</v>
      </c>
      <c r="Q7" s="2">
        <v>1</v>
      </c>
      <c r="R7" s="2">
        <v>2</v>
      </c>
      <c r="S7" s="2">
        <v>8000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</row>
    <row r="8" spans="1:58" x14ac:dyDescent="0.4">
      <c r="A8" s="2"/>
      <c r="B8" s="2">
        <v>3</v>
      </c>
      <c r="C8" s="2" t="s">
        <v>4</v>
      </c>
      <c r="D8" s="2" t="s">
        <v>4</v>
      </c>
      <c r="E8" s="2">
        <v>32000</v>
      </c>
      <c r="F8" s="2"/>
      <c r="G8" s="2"/>
      <c r="H8" s="2"/>
      <c r="I8" s="2"/>
      <c r="J8" s="2"/>
      <c r="K8" s="2"/>
      <c r="L8" s="2"/>
      <c r="M8" s="5"/>
      <c r="N8" s="2"/>
      <c r="O8" s="2">
        <v>3</v>
      </c>
      <c r="P8" s="2" t="s">
        <v>23</v>
      </c>
      <c r="Q8" s="2">
        <v>2</v>
      </c>
      <c r="R8" s="2">
        <v>1</v>
      </c>
      <c r="S8" s="2">
        <v>8000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</row>
    <row r="9" spans="1:58" x14ac:dyDescent="0.4">
      <c r="A9" s="2"/>
      <c r="B9" s="2">
        <v>4</v>
      </c>
      <c r="C9" s="2" t="s">
        <v>5</v>
      </c>
      <c r="D9" s="2" t="s">
        <v>4</v>
      </c>
      <c r="E9" s="2">
        <v>68000</v>
      </c>
      <c r="F9" s="2"/>
      <c r="G9" s="2"/>
      <c r="H9" s="2"/>
      <c r="I9" s="2"/>
      <c r="J9" s="2"/>
      <c r="K9" s="2"/>
      <c r="L9" s="2"/>
      <c r="M9" s="5"/>
      <c r="N9" s="2"/>
      <c r="O9" s="2">
        <v>4</v>
      </c>
      <c r="P9" s="2" t="s">
        <v>23</v>
      </c>
      <c r="Q9" s="2">
        <v>3</v>
      </c>
      <c r="R9" s="2">
        <v>1</v>
      </c>
      <c r="S9" s="2">
        <v>8000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</row>
    <row r="10" spans="1:58" x14ac:dyDescent="0.4">
      <c r="A10" s="2"/>
      <c r="B10" s="2">
        <v>5</v>
      </c>
      <c r="C10" s="2" t="s">
        <v>4</v>
      </c>
      <c r="D10" s="2" t="s">
        <v>5</v>
      </c>
      <c r="E10" s="2">
        <v>136000</v>
      </c>
      <c r="F10" s="2"/>
      <c r="G10" s="2"/>
      <c r="H10" s="2"/>
      <c r="I10" s="2"/>
      <c r="J10" s="2"/>
      <c r="K10" s="2"/>
      <c r="L10" s="2"/>
      <c r="M10" s="4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</row>
    <row r="11" spans="1:58" x14ac:dyDescent="0.4">
      <c r="A11" s="2"/>
      <c r="B11" s="2">
        <v>6</v>
      </c>
      <c r="C11" s="2" t="s">
        <v>4</v>
      </c>
      <c r="D11" s="2" t="s">
        <v>4</v>
      </c>
      <c r="E11" s="2">
        <v>272000</v>
      </c>
      <c r="F11" s="2"/>
      <c r="G11" s="2"/>
      <c r="H11" s="2"/>
      <c r="I11" s="2"/>
      <c r="K11" s="2"/>
      <c r="L11" s="2"/>
      <c r="M11" s="5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</row>
    <row r="12" spans="1:58" x14ac:dyDescent="0.4">
      <c r="A12" s="2"/>
      <c r="B12" s="2">
        <v>7</v>
      </c>
      <c r="C12" s="2" t="s">
        <v>4</v>
      </c>
      <c r="D12" s="2" t="s">
        <v>4</v>
      </c>
      <c r="E12" s="2">
        <v>536000</v>
      </c>
      <c r="F12" s="2"/>
      <c r="G12" s="2"/>
      <c r="H12" s="2"/>
      <c r="I12" s="2"/>
      <c r="J12" s="2"/>
      <c r="K12" s="2"/>
      <c r="L12" s="2"/>
      <c r="M12" s="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</row>
    <row r="13" spans="1:58" x14ac:dyDescent="0.4">
      <c r="A13" s="2"/>
      <c r="B13" s="2">
        <v>8</v>
      </c>
      <c r="C13" s="2" t="s">
        <v>5</v>
      </c>
      <c r="D13" s="2" t="s">
        <v>5</v>
      </c>
      <c r="E13" s="2">
        <v>1060000</v>
      </c>
      <c r="F13" s="2"/>
      <c r="G13" s="2"/>
      <c r="H13" s="2"/>
      <c r="I13" s="2"/>
      <c r="J13" s="2"/>
      <c r="K13" s="2"/>
      <c r="L13" s="2"/>
      <c r="M13" s="5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</row>
    <row r="14" spans="1:58" x14ac:dyDescent="0.4">
      <c r="A14" s="2"/>
      <c r="B14" s="2">
        <v>9</v>
      </c>
      <c r="C14" s="2" t="s">
        <v>5</v>
      </c>
      <c r="D14" s="2" t="s">
        <v>4</v>
      </c>
      <c r="E14" s="2">
        <v>2100000</v>
      </c>
      <c r="F14" s="2"/>
      <c r="G14" s="2"/>
      <c r="H14" s="2"/>
      <c r="I14" s="2"/>
      <c r="J14" s="2"/>
      <c r="K14" s="2"/>
      <c r="L14" s="2"/>
      <c r="M14" s="4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</row>
    <row r="15" spans="1:58" x14ac:dyDescent="0.4">
      <c r="A15" s="2"/>
      <c r="B15" s="2">
        <v>10</v>
      </c>
      <c r="C15" s="2" t="s">
        <v>5</v>
      </c>
      <c r="D15" s="2" t="s">
        <v>4</v>
      </c>
      <c r="E15" s="2">
        <v>4200000</v>
      </c>
      <c r="F15" s="2"/>
      <c r="G15" s="2"/>
      <c r="H15" s="2"/>
      <c r="I15" s="2"/>
      <c r="J15" s="2"/>
      <c r="K15" s="2"/>
      <c r="L15" s="2"/>
      <c r="M15" s="5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</row>
    <row r="16" spans="1:58" x14ac:dyDescent="0.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4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</row>
    <row r="17" spans="1:58" x14ac:dyDescent="0.4">
      <c r="A17" s="2"/>
      <c r="B17" s="2" t="s">
        <v>6</v>
      </c>
      <c r="C17" s="2">
        <f ca="1">IF($C$6=VLOOKUP(C17, $B$6:$E$15, 2, 0), 1, C17 + 1)</f>
        <v>0</v>
      </c>
      <c r="D17" s="2" t="s">
        <v>3</v>
      </c>
      <c r="E17" s="2">
        <f ca="1">IF((VLOOKUP(E17, $C$6:$E$15, 4, 0) + VLOOKUP(E17, $C$6:$E$15, 4, 0)) = 0, "패스", VLOOKUP(F2, $C$6:$E$15, 4, 0) + VLOOKUP(G2, $C$6:$E$15, 4, 0))</f>
        <v>0</v>
      </c>
      <c r="F17" s="2"/>
      <c r="G17" s="2"/>
      <c r="H17" s="2"/>
      <c r="I17" s="2"/>
      <c r="J17" s="2"/>
      <c r="K17" s="2"/>
      <c r="L17" s="2"/>
      <c r="M17" s="4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</row>
    <row r="18" spans="1:58" x14ac:dyDescent="0.4">
      <c r="A18" s="2"/>
      <c r="B18" s="2"/>
      <c r="C18" s="2">
        <f ca="1">IF($C$6=VLOOKUP(C18, $B$6:$E$15, 3, 0), 1, C18 + 1)</f>
        <v>0</v>
      </c>
      <c r="D18" s="2"/>
      <c r="E18" s="2"/>
      <c r="F18" s="2"/>
      <c r="G18" s="2"/>
      <c r="H18" s="2"/>
      <c r="I18" s="2"/>
      <c r="J18" s="2"/>
      <c r="K18" s="2"/>
      <c r="L18" s="2"/>
      <c r="M18" s="3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</row>
    <row r="19" spans="1:58" x14ac:dyDescent="0.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</row>
    <row r="20" spans="1:58" ht="18" thickBot="1" x14ac:dyDescent="0.4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</row>
    <row r="21" spans="1:58" ht="40.049999999999997" customHeight="1" thickTop="1" thickBot="1" x14ac:dyDescent="0.45">
      <c r="A21" s="2"/>
      <c r="B21" s="6" t="s">
        <v>9</v>
      </c>
      <c r="C21" s="8" t="s">
        <v>10</v>
      </c>
      <c r="D21" s="7" t="s">
        <v>11</v>
      </c>
      <c r="E21" s="6" t="s">
        <v>15</v>
      </c>
      <c r="F21" s="8" t="s">
        <v>12</v>
      </c>
      <c r="G21" s="7" t="s">
        <v>13</v>
      </c>
      <c r="H21" s="7" t="s">
        <v>18</v>
      </c>
      <c r="I21" s="6" t="s">
        <v>17</v>
      </c>
      <c r="J21" s="9" t="s">
        <v>14</v>
      </c>
      <c r="K21" s="9"/>
      <c r="L21" s="2"/>
      <c r="M21" s="3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</row>
    <row r="22" spans="1:58" ht="18" thickTop="1" x14ac:dyDescent="0.4">
      <c r="A22" s="2"/>
      <c r="B22" s="12">
        <v>1000</v>
      </c>
      <c r="C22" s="2">
        <f>B22*2</f>
        <v>2000</v>
      </c>
      <c r="D22" s="2">
        <f>B22*3</f>
        <v>3000</v>
      </c>
      <c r="E22" s="2">
        <f>B22*4</f>
        <v>4000</v>
      </c>
      <c r="F22" s="2">
        <f>B22*5</f>
        <v>5000</v>
      </c>
      <c r="G22" s="2">
        <f>B22*6</f>
        <v>6000</v>
      </c>
      <c r="H22" s="2">
        <f>B22*7</f>
        <v>7000</v>
      </c>
      <c r="I22" s="2">
        <f>B22*8</f>
        <v>8000</v>
      </c>
      <c r="J22" s="2">
        <f>B22*9</f>
        <v>9000</v>
      </c>
      <c r="K22" s="2"/>
      <c r="L22" s="2"/>
      <c r="M22" s="3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</row>
    <row r="23" spans="1:58" x14ac:dyDescent="0.4">
      <c r="A23" s="2"/>
      <c r="B23" s="12">
        <v>3000</v>
      </c>
      <c r="C23" s="2">
        <f t="shared" ref="C23:C31" si="0">B23*2</f>
        <v>6000</v>
      </c>
      <c r="D23" s="2">
        <f t="shared" ref="D23:D31" si="1">B23*3</f>
        <v>9000</v>
      </c>
      <c r="E23" s="2">
        <f t="shared" ref="E23:E31" si="2">B23*4</f>
        <v>12000</v>
      </c>
      <c r="F23" s="2">
        <f t="shared" ref="F23:F31" si="3">B23*5</f>
        <v>15000</v>
      </c>
      <c r="G23" s="2">
        <f t="shared" ref="G23:G31" si="4">B23*6</f>
        <v>18000</v>
      </c>
      <c r="H23" s="2">
        <f t="shared" ref="H23:H31" si="5">B23*7</f>
        <v>21000</v>
      </c>
      <c r="I23" s="2">
        <f t="shared" ref="I23:I31" si="6">B23*8</f>
        <v>24000</v>
      </c>
      <c r="J23" s="2">
        <f t="shared" ref="J23:J31" si="7">B23*9</f>
        <v>27000</v>
      </c>
      <c r="K23" s="2"/>
      <c r="L23" s="2"/>
      <c r="M23" s="3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</row>
    <row r="24" spans="1:58" x14ac:dyDescent="0.4">
      <c r="A24" s="2"/>
      <c r="B24" s="12">
        <v>8000</v>
      </c>
      <c r="C24" s="2">
        <f t="shared" si="0"/>
        <v>16000</v>
      </c>
      <c r="D24" s="2">
        <f t="shared" si="1"/>
        <v>24000</v>
      </c>
      <c r="E24" s="2">
        <f t="shared" si="2"/>
        <v>32000</v>
      </c>
      <c r="F24" s="2">
        <f t="shared" si="3"/>
        <v>40000</v>
      </c>
      <c r="G24" s="2">
        <f t="shared" si="4"/>
        <v>48000</v>
      </c>
      <c r="H24" s="2">
        <f t="shared" si="5"/>
        <v>56000</v>
      </c>
      <c r="I24" s="2">
        <f t="shared" si="6"/>
        <v>64000</v>
      </c>
      <c r="J24" s="2">
        <f t="shared" si="7"/>
        <v>72000</v>
      </c>
      <c r="K24" s="2"/>
      <c r="L24" s="2"/>
      <c r="M24" s="3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</row>
    <row r="25" spans="1:58" x14ac:dyDescent="0.4">
      <c r="A25" s="2"/>
      <c r="B25" s="12">
        <v>17000</v>
      </c>
      <c r="C25" s="2">
        <f t="shared" si="0"/>
        <v>34000</v>
      </c>
      <c r="D25" s="2">
        <f t="shared" si="1"/>
        <v>51000</v>
      </c>
      <c r="E25" s="2">
        <f t="shared" si="2"/>
        <v>68000</v>
      </c>
      <c r="F25" s="2">
        <f t="shared" si="3"/>
        <v>85000</v>
      </c>
      <c r="G25" s="2">
        <f t="shared" si="4"/>
        <v>102000</v>
      </c>
      <c r="H25" s="2">
        <f t="shared" si="5"/>
        <v>119000</v>
      </c>
      <c r="I25" s="2">
        <f t="shared" si="6"/>
        <v>136000</v>
      </c>
      <c r="J25" s="2">
        <f t="shared" si="7"/>
        <v>153000</v>
      </c>
      <c r="K25" s="2"/>
      <c r="L25" s="2"/>
      <c r="M25" s="3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</row>
    <row r="26" spans="1:58" x14ac:dyDescent="0.4">
      <c r="A26" s="2"/>
      <c r="B26" s="12">
        <v>34000</v>
      </c>
      <c r="C26" s="2">
        <f t="shared" si="0"/>
        <v>68000</v>
      </c>
      <c r="D26" s="2">
        <f t="shared" si="1"/>
        <v>102000</v>
      </c>
      <c r="E26" s="2">
        <f t="shared" si="2"/>
        <v>136000</v>
      </c>
      <c r="F26" s="2">
        <f t="shared" si="3"/>
        <v>170000</v>
      </c>
      <c r="G26" s="2">
        <f t="shared" si="4"/>
        <v>204000</v>
      </c>
      <c r="H26" s="2">
        <f t="shared" si="5"/>
        <v>238000</v>
      </c>
      <c r="I26" s="2">
        <f t="shared" si="6"/>
        <v>272000</v>
      </c>
      <c r="J26" s="2">
        <f t="shared" si="7"/>
        <v>306000</v>
      </c>
      <c r="K26" s="2"/>
      <c r="L26" s="2"/>
      <c r="M26" s="3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</row>
    <row r="27" spans="1:58" x14ac:dyDescent="0.4">
      <c r="A27" s="2"/>
      <c r="B27" s="12">
        <v>68000</v>
      </c>
      <c r="C27" s="2">
        <f t="shared" si="0"/>
        <v>136000</v>
      </c>
      <c r="D27" s="2">
        <f t="shared" si="1"/>
        <v>204000</v>
      </c>
      <c r="E27" s="2">
        <f t="shared" si="2"/>
        <v>272000</v>
      </c>
      <c r="F27" s="2">
        <f t="shared" si="3"/>
        <v>340000</v>
      </c>
      <c r="G27" s="2">
        <f t="shared" si="4"/>
        <v>408000</v>
      </c>
      <c r="H27" s="2">
        <f t="shared" si="5"/>
        <v>476000</v>
      </c>
      <c r="I27" s="2">
        <f t="shared" si="6"/>
        <v>544000</v>
      </c>
      <c r="J27" s="2">
        <f t="shared" si="7"/>
        <v>612000</v>
      </c>
      <c r="K27" s="2"/>
      <c r="L27" s="2"/>
      <c r="M27" s="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</row>
    <row r="28" spans="1:58" x14ac:dyDescent="0.4">
      <c r="A28" s="2"/>
      <c r="B28" s="12">
        <v>134000</v>
      </c>
      <c r="C28" s="2">
        <f t="shared" si="0"/>
        <v>268000</v>
      </c>
      <c r="D28" s="2">
        <f t="shared" si="1"/>
        <v>402000</v>
      </c>
      <c r="E28" s="2">
        <f t="shared" si="2"/>
        <v>536000</v>
      </c>
      <c r="F28" s="2">
        <f t="shared" si="3"/>
        <v>670000</v>
      </c>
      <c r="G28" s="2">
        <f t="shared" si="4"/>
        <v>804000</v>
      </c>
      <c r="H28" s="2">
        <f t="shared" si="5"/>
        <v>938000</v>
      </c>
      <c r="I28" s="2">
        <f t="shared" si="6"/>
        <v>1072000</v>
      </c>
      <c r="J28" s="2">
        <f t="shared" si="7"/>
        <v>1206000</v>
      </c>
      <c r="K28" s="2"/>
      <c r="L28" s="2"/>
      <c r="M28" s="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</row>
    <row r="29" spans="1:58" x14ac:dyDescent="0.4">
      <c r="A29" s="2"/>
      <c r="B29" s="12">
        <v>265000</v>
      </c>
      <c r="C29" s="2">
        <f t="shared" si="0"/>
        <v>530000</v>
      </c>
      <c r="D29" s="2">
        <f t="shared" si="1"/>
        <v>795000</v>
      </c>
      <c r="E29" s="2">
        <f t="shared" si="2"/>
        <v>1060000</v>
      </c>
      <c r="F29" s="2">
        <f t="shared" si="3"/>
        <v>1325000</v>
      </c>
      <c r="G29" s="2">
        <f t="shared" si="4"/>
        <v>1590000</v>
      </c>
      <c r="H29" s="2">
        <f t="shared" si="5"/>
        <v>1855000</v>
      </c>
      <c r="I29" s="2">
        <f t="shared" si="6"/>
        <v>2120000</v>
      </c>
      <c r="J29" s="2">
        <f t="shared" si="7"/>
        <v>2385000</v>
      </c>
      <c r="K29" s="2"/>
      <c r="L29" s="2"/>
      <c r="M29" s="3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</row>
    <row r="30" spans="1:58" x14ac:dyDescent="0.4">
      <c r="A30" s="2"/>
      <c r="B30" s="12">
        <v>525000</v>
      </c>
      <c r="C30" s="2">
        <f t="shared" si="0"/>
        <v>1050000</v>
      </c>
      <c r="D30" s="2">
        <f t="shared" si="1"/>
        <v>1575000</v>
      </c>
      <c r="E30" s="2">
        <f t="shared" si="2"/>
        <v>2100000</v>
      </c>
      <c r="F30" s="2">
        <f t="shared" si="3"/>
        <v>2625000</v>
      </c>
      <c r="G30" s="2">
        <f t="shared" si="4"/>
        <v>3150000</v>
      </c>
      <c r="H30" s="2">
        <f t="shared" si="5"/>
        <v>3675000</v>
      </c>
      <c r="I30" s="2">
        <f t="shared" si="6"/>
        <v>4200000</v>
      </c>
      <c r="J30" s="2">
        <f t="shared" si="7"/>
        <v>4725000</v>
      </c>
      <c r="K30" s="2"/>
      <c r="L30" s="2"/>
      <c r="M30" s="3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</row>
    <row r="31" spans="1:58" x14ac:dyDescent="0.4">
      <c r="A31" s="2"/>
      <c r="B31" s="12">
        <v>1050000</v>
      </c>
      <c r="C31" s="2">
        <f t="shared" si="0"/>
        <v>2100000</v>
      </c>
      <c r="D31" s="2">
        <f t="shared" si="1"/>
        <v>3150000</v>
      </c>
      <c r="E31" s="2">
        <f t="shared" si="2"/>
        <v>4200000</v>
      </c>
      <c r="F31" s="2">
        <f t="shared" si="3"/>
        <v>5250000</v>
      </c>
      <c r="G31" s="2">
        <f t="shared" si="4"/>
        <v>6300000</v>
      </c>
      <c r="H31" s="2">
        <f t="shared" si="5"/>
        <v>7350000</v>
      </c>
      <c r="I31" s="2">
        <f t="shared" si="6"/>
        <v>8400000</v>
      </c>
      <c r="J31" s="2">
        <f t="shared" si="7"/>
        <v>9450000</v>
      </c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</row>
    <row r="32" spans="1:58" x14ac:dyDescent="0.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</row>
    <row r="33" spans="1:58" x14ac:dyDescent="0.4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</row>
    <row r="34" spans="1:58" x14ac:dyDescent="0.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</row>
    <row r="35" spans="1:58" x14ac:dyDescent="0.4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</row>
    <row r="36" spans="1:58" x14ac:dyDescent="0.4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</row>
    <row r="37" spans="1:58" x14ac:dyDescent="0.4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</row>
    <row r="38" spans="1:58" x14ac:dyDescent="0.4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</row>
    <row r="39" spans="1:58" x14ac:dyDescent="0.4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</row>
    <row r="40" spans="1:58" x14ac:dyDescent="0.4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</row>
    <row r="41" spans="1:58" x14ac:dyDescent="0.4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</row>
    <row r="42" spans="1:58" x14ac:dyDescent="0.4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</row>
    <row r="43" spans="1:58" x14ac:dyDescent="0.4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</row>
    <row r="44" spans="1:58" x14ac:dyDescent="0.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</row>
    <row r="45" spans="1:58" x14ac:dyDescent="0.4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</row>
    <row r="46" spans="1:58" x14ac:dyDescent="0.4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</row>
    <row r="47" spans="1:58" x14ac:dyDescent="0.4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</row>
    <row r="48" spans="1:58" x14ac:dyDescent="0.4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</row>
    <row r="49" spans="1:58" x14ac:dyDescent="0.4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</row>
    <row r="50" spans="1:58" x14ac:dyDescent="0.4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</row>
    <row r="51" spans="1:58" x14ac:dyDescent="0.4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</row>
    <row r="52" spans="1:58" x14ac:dyDescent="0.4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</row>
    <row r="53" spans="1:58" x14ac:dyDescent="0.4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</row>
    <row r="54" spans="1:58" x14ac:dyDescent="0.4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</row>
    <row r="55" spans="1:58" x14ac:dyDescent="0.4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</row>
    <row r="56" spans="1:58" x14ac:dyDescent="0.4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</row>
    <row r="57" spans="1:58" x14ac:dyDescent="0.4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</row>
    <row r="58" spans="1:58" x14ac:dyDescent="0.4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</row>
    <row r="59" spans="1:58" x14ac:dyDescent="0.4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</row>
    <row r="60" spans="1:58" x14ac:dyDescent="0.4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</row>
    <row r="61" spans="1:58" x14ac:dyDescent="0.4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</row>
    <row r="62" spans="1:58" x14ac:dyDescent="0.4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</row>
    <row r="63" spans="1:58" x14ac:dyDescent="0.4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</row>
    <row r="64" spans="1:58" x14ac:dyDescent="0.4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</row>
    <row r="65" spans="1:58" x14ac:dyDescent="0.4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</row>
    <row r="66" spans="1:58" x14ac:dyDescent="0.4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</row>
    <row r="67" spans="1:58" x14ac:dyDescent="0.4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</row>
    <row r="68" spans="1:58" x14ac:dyDescent="0.4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</row>
    <row r="69" spans="1:58" x14ac:dyDescent="0.4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</row>
    <row r="70" spans="1:58" x14ac:dyDescent="0.4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</row>
    <row r="71" spans="1:58" x14ac:dyDescent="0.4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</row>
    <row r="72" spans="1:58" x14ac:dyDescent="0.4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</row>
    <row r="73" spans="1:58" x14ac:dyDescent="0.4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</row>
    <row r="74" spans="1:58" x14ac:dyDescent="0.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</row>
    <row r="75" spans="1:58" x14ac:dyDescent="0.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</row>
    <row r="76" spans="1:58" x14ac:dyDescent="0.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</row>
    <row r="77" spans="1:58" x14ac:dyDescent="0.4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</row>
    <row r="78" spans="1:58" x14ac:dyDescent="0.4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</row>
    <row r="79" spans="1:58" x14ac:dyDescent="0.4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</row>
    <row r="80" spans="1:58" x14ac:dyDescent="0.4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</row>
    <row r="81" spans="1:58" x14ac:dyDescent="0.4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</row>
    <row r="82" spans="1:58" x14ac:dyDescent="0.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</row>
    <row r="83" spans="1:58" x14ac:dyDescent="0.4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</row>
    <row r="84" spans="1:58" x14ac:dyDescent="0.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</row>
    <row r="85" spans="1:58" x14ac:dyDescent="0.4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</row>
    <row r="86" spans="1:58" x14ac:dyDescent="0.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</row>
    <row r="87" spans="1:58" x14ac:dyDescent="0.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</row>
    <row r="88" spans="1:58" x14ac:dyDescent="0.4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</row>
    <row r="89" spans="1:58" x14ac:dyDescent="0.4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</row>
    <row r="90" spans="1:58" x14ac:dyDescent="0.4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</row>
    <row r="91" spans="1:58" x14ac:dyDescent="0.4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</row>
    <row r="92" spans="1:58" x14ac:dyDescent="0.4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</row>
    <row r="93" spans="1:58" x14ac:dyDescent="0.4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</row>
    <row r="94" spans="1:58" x14ac:dyDescent="0.4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</row>
    <row r="95" spans="1:58" x14ac:dyDescent="0.4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</row>
    <row r="96" spans="1:58" x14ac:dyDescent="0.4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</row>
    <row r="97" spans="1:58" x14ac:dyDescent="0.4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</row>
    <row r="98" spans="1:58" x14ac:dyDescent="0.4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</row>
    <row r="99" spans="1:58" x14ac:dyDescent="0.4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</row>
    <row r="100" spans="1:58" x14ac:dyDescent="0.4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</row>
    <row r="101" spans="1:58" x14ac:dyDescent="0.4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</row>
    <row r="102" spans="1:58" x14ac:dyDescent="0.4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</row>
    <row r="103" spans="1:58" x14ac:dyDescent="0.4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</row>
    <row r="104" spans="1:58" x14ac:dyDescent="0.4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</row>
    <row r="105" spans="1:58" x14ac:dyDescent="0.4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</row>
    <row r="106" spans="1:58" x14ac:dyDescent="0.4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</row>
    <row r="107" spans="1:58" x14ac:dyDescent="0.4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</row>
    <row r="108" spans="1:58" x14ac:dyDescent="0.4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</row>
    <row r="109" spans="1:58" x14ac:dyDescent="0.4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</row>
    <row r="110" spans="1:58" x14ac:dyDescent="0.4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</row>
    <row r="111" spans="1:58" x14ac:dyDescent="0.4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</row>
    <row r="112" spans="1:58" x14ac:dyDescent="0.4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</row>
    <row r="113" spans="1:58" x14ac:dyDescent="0.4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</row>
    <row r="114" spans="1:58" x14ac:dyDescent="0.4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</row>
    <row r="115" spans="1:58" x14ac:dyDescent="0.4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</row>
    <row r="116" spans="1:58" x14ac:dyDescent="0.4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</row>
    <row r="117" spans="1:58" x14ac:dyDescent="0.4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</row>
    <row r="118" spans="1:58" x14ac:dyDescent="0.4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</row>
    <row r="119" spans="1:58" x14ac:dyDescent="0.4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</row>
    <row r="120" spans="1:58" x14ac:dyDescent="0.4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</row>
    <row r="121" spans="1:58" x14ac:dyDescent="0.4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</row>
    <row r="122" spans="1:58" x14ac:dyDescent="0.4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</row>
    <row r="123" spans="1:58" x14ac:dyDescent="0.4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</row>
    <row r="124" spans="1:58" x14ac:dyDescent="0.4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</row>
    <row r="125" spans="1:58" x14ac:dyDescent="0.4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</row>
    <row r="126" spans="1:58" x14ac:dyDescent="0.4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</row>
    <row r="127" spans="1:58" x14ac:dyDescent="0.4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</row>
    <row r="128" spans="1:58" x14ac:dyDescent="0.4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</row>
    <row r="129" spans="1:58" x14ac:dyDescent="0.4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</row>
    <row r="130" spans="1:58" x14ac:dyDescent="0.4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</row>
    <row r="131" spans="1:58" x14ac:dyDescent="0.4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</row>
    <row r="132" spans="1:58" x14ac:dyDescent="0.4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</row>
    <row r="133" spans="1:58" x14ac:dyDescent="0.4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</row>
    <row r="134" spans="1:58" x14ac:dyDescent="0.4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</row>
    <row r="135" spans="1:58" x14ac:dyDescent="0.4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</row>
    <row r="136" spans="1:58" x14ac:dyDescent="0.4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</row>
    <row r="137" spans="1:58" x14ac:dyDescent="0.4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</row>
    <row r="138" spans="1:58" x14ac:dyDescent="0.4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</row>
    <row r="139" spans="1:58" x14ac:dyDescent="0.4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</row>
    <row r="140" spans="1:58" x14ac:dyDescent="0.4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</row>
    <row r="141" spans="1:58" x14ac:dyDescent="0.4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</row>
    <row r="142" spans="1:58" x14ac:dyDescent="0.4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</row>
    <row r="143" spans="1:58" x14ac:dyDescent="0.4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</row>
    <row r="144" spans="1:58" x14ac:dyDescent="0.4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</row>
    <row r="145" spans="1:58" x14ac:dyDescent="0.4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</row>
    <row r="146" spans="1:58" x14ac:dyDescent="0.4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</row>
    <row r="147" spans="1:58" x14ac:dyDescent="0.4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</row>
    <row r="148" spans="1:58" x14ac:dyDescent="0.4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</row>
    <row r="149" spans="1:58" x14ac:dyDescent="0.4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</row>
    <row r="150" spans="1:58" x14ac:dyDescent="0.4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</row>
    <row r="151" spans="1:58" x14ac:dyDescent="0.4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</row>
    <row r="152" spans="1:58" x14ac:dyDescent="0.4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</row>
    <row r="153" spans="1:58" x14ac:dyDescent="0.4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</row>
    <row r="154" spans="1:58" x14ac:dyDescent="0.4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</row>
    <row r="155" spans="1:58" x14ac:dyDescent="0.4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</row>
    <row r="156" spans="1:58" x14ac:dyDescent="0.4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</row>
    <row r="157" spans="1:58" x14ac:dyDescent="0.4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</row>
    <row r="158" spans="1:58" x14ac:dyDescent="0.4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</row>
    <row r="159" spans="1:58" x14ac:dyDescent="0.4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</row>
    <row r="160" spans="1:58" x14ac:dyDescent="0.4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</row>
    <row r="161" spans="1:58" x14ac:dyDescent="0.4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</row>
    <row r="162" spans="1:58" x14ac:dyDescent="0.4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</row>
    <row r="163" spans="1:58" x14ac:dyDescent="0.4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</row>
    <row r="164" spans="1:58" x14ac:dyDescent="0.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</row>
    <row r="165" spans="1:58" x14ac:dyDescent="0.4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</row>
    <row r="166" spans="1:58" x14ac:dyDescent="0.4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</row>
    <row r="167" spans="1:58" x14ac:dyDescent="0.4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</row>
    <row r="168" spans="1:58" x14ac:dyDescent="0.4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</row>
    <row r="169" spans="1:58" x14ac:dyDescent="0.4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</row>
    <row r="170" spans="1:58" x14ac:dyDescent="0.4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</row>
    <row r="171" spans="1:58" x14ac:dyDescent="0.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</row>
    <row r="172" spans="1:58" x14ac:dyDescent="0.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</row>
    <row r="173" spans="1:58" x14ac:dyDescent="0.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</row>
    <row r="174" spans="1:58" x14ac:dyDescent="0.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</row>
    <row r="175" spans="1:58" x14ac:dyDescent="0.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</row>
    <row r="176" spans="1:58" x14ac:dyDescent="0.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</row>
    <row r="177" spans="1:58" x14ac:dyDescent="0.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</row>
    <row r="178" spans="1:58" x14ac:dyDescent="0.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</row>
    <row r="179" spans="1:58" x14ac:dyDescent="0.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</row>
    <row r="180" spans="1:58" x14ac:dyDescent="0.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</row>
    <row r="181" spans="1:58" x14ac:dyDescent="0.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</row>
    <row r="182" spans="1:58" x14ac:dyDescent="0.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</row>
    <row r="183" spans="1:58" x14ac:dyDescent="0.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</row>
    <row r="184" spans="1:58" x14ac:dyDescent="0.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</row>
    <row r="185" spans="1:58" x14ac:dyDescent="0.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</row>
    <row r="186" spans="1:58" x14ac:dyDescent="0.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</row>
    <row r="187" spans="1:58" x14ac:dyDescent="0.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</row>
    <row r="188" spans="1:58" x14ac:dyDescent="0.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</row>
    <row r="189" spans="1:58" x14ac:dyDescent="0.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</row>
    <row r="190" spans="1:58" x14ac:dyDescent="0.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</row>
    <row r="191" spans="1:58" x14ac:dyDescent="0.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</row>
    <row r="192" spans="1:58" x14ac:dyDescent="0.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</row>
    <row r="193" spans="1:58" x14ac:dyDescent="0.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</row>
    <row r="194" spans="1:58" x14ac:dyDescent="0.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</row>
    <row r="195" spans="1:58" x14ac:dyDescent="0.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</row>
    <row r="196" spans="1:58" x14ac:dyDescent="0.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</row>
    <row r="197" spans="1:58" x14ac:dyDescent="0.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</row>
    <row r="198" spans="1:58" x14ac:dyDescent="0.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</row>
    <row r="199" spans="1:58" x14ac:dyDescent="0.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</row>
    <row r="200" spans="1:58" x14ac:dyDescent="0.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</row>
    <row r="201" spans="1:58" x14ac:dyDescent="0.4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</row>
    <row r="202" spans="1:58" x14ac:dyDescent="0.4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</row>
    <row r="203" spans="1:58" x14ac:dyDescent="0.4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</row>
    <row r="204" spans="1:58" x14ac:dyDescent="0.4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</row>
    <row r="205" spans="1:58" x14ac:dyDescent="0.4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</row>
    <row r="206" spans="1:58" x14ac:dyDescent="0.4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</row>
    <row r="207" spans="1:58" x14ac:dyDescent="0.4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</row>
    <row r="208" spans="1:58" x14ac:dyDescent="0.4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</row>
    <row r="209" spans="1:58" x14ac:dyDescent="0.4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</row>
    <row r="210" spans="1:58" x14ac:dyDescent="0.4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</row>
    <row r="211" spans="1:58" x14ac:dyDescent="0.4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</row>
    <row r="212" spans="1:58" x14ac:dyDescent="0.4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</row>
    <row r="213" spans="1:58" x14ac:dyDescent="0.4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</row>
    <row r="214" spans="1:58" x14ac:dyDescent="0.4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</row>
    <row r="215" spans="1:58" x14ac:dyDescent="0.4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</row>
    <row r="216" spans="1:58" x14ac:dyDescent="0.4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</row>
    <row r="217" spans="1:58" x14ac:dyDescent="0.4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</row>
    <row r="218" spans="1:58" x14ac:dyDescent="0.4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</row>
    <row r="219" spans="1:58" x14ac:dyDescent="0.4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</row>
    <row r="220" spans="1:58" x14ac:dyDescent="0.4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</row>
    <row r="221" spans="1:58" x14ac:dyDescent="0.4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</row>
    <row r="222" spans="1:58" x14ac:dyDescent="0.4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</row>
    <row r="223" spans="1:58" x14ac:dyDescent="0.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</row>
    <row r="224" spans="1:58" x14ac:dyDescent="0.4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</row>
    <row r="225" spans="1:58" x14ac:dyDescent="0.4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</row>
    <row r="226" spans="1:58" x14ac:dyDescent="0.4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</row>
    <row r="227" spans="1:58" x14ac:dyDescent="0.4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</row>
    <row r="228" spans="1:58" x14ac:dyDescent="0.4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</row>
    <row r="229" spans="1:58" x14ac:dyDescent="0.4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</row>
    <row r="230" spans="1:58" x14ac:dyDescent="0.4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</row>
    <row r="231" spans="1:58" x14ac:dyDescent="0.4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</row>
    <row r="232" spans="1:58" x14ac:dyDescent="0.4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</row>
    <row r="233" spans="1:58" x14ac:dyDescent="0.4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</row>
    <row r="234" spans="1:58" x14ac:dyDescent="0.4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</row>
    <row r="235" spans="1:58" x14ac:dyDescent="0.4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</row>
    <row r="236" spans="1:58" x14ac:dyDescent="0.4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</row>
    <row r="237" spans="1:58" x14ac:dyDescent="0.4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</row>
    <row r="238" spans="1:58" x14ac:dyDescent="0.4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</row>
    <row r="239" spans="1:58" x14ac:dyDescent="0.4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</row>
    <row r="240" spans="1:58" x14ac:dyDescent="0.4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</row>
    <row r="241" spans="1:58" x14ac:dyDescent="0.4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</row>
    <row r="242" spans="1:58" x14ac:dyDescent="0.4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</row>
    <row r="243" spans="1:58" x14ac:dyDescent="0.4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</row>
    <row r="244" spans="1:58" x14ac:dyDescent="0.4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</row>
    <row r="245" spans="1:58" x14ac:dyDescent="0.4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</row>
    <row r="246" spans="1:58" x14ac:dyDescent="0.4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</row>
    <row r="247" spans="1:58" x14ac:dyDescent="0.4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</row>
    <row r="248" spans="1:58" x14ac:dyDescent="0.4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</row>
    <row r="249" spans="1:58" x14ac:dyDescent="0.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</row>
    <row r="250" spans="1:58" x14ac:dyDescent="0.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</row>
    <row r="251" spans="1:58" x14ac:dyDescent="0.4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</row>
    <row r="252" spans="1:58" x14ac:dyDescent="0.4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</row>
    <row r="253" spans="1:58" x14ac:dyDescent="0.4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</row>
    <row r="254" spans="1:58" x14ac:dyDescent="0.4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</row>
    <row r="255" spans="1:58" x14ac:dyDescent="0.4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</row>
    <row r="256" spans="1:58" x14ac:dyDescent="0.4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</row>
    <row r="257" spans="1:58" x14ac:dyDescent="0.4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</row>
    <row r="258" spans="1:58" x14ac:dyDescent="0.4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</row>
    <row r="259" spans="1:58" x14ac:dyDescent="0.4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</row>
    <row r="260" spans="1:58" x14ac:dyDescent="0.4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</row>
    <row r="261" spans="1:58" x14ac:dyDescent="0.4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</row>
    <row r="262" spans="1:58" x14ac:dyDescent="0.4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</row>
    <row r="263" spans="1:58" x14ac:dyDescent="0.4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</row>
    <row r="264" spans="1:58" x14ac:dyDescent="0.4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</row>
    <row r="265" spans="1:58" x14ac:dyDescent="0.4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</row>
    <row r="266" spans="1:58" x14ac:dyDescent="0.4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</row>
    <row r="267" spans="1:58" x14ac:dyDescent="0.4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</row>
    <row r="268" spans="1:58" x14ac:dyDescent="0.4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</row>
    <row r="269" spans="1:58" x14ac:dyDescent="0.4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</row>
    <row r="270" spans="1:58" x14ac:dyDescent="0.4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</row>
  </sheetData>
  <phoneticPr fontId="1" type="noConversion"/>
  <conditionalFormatting sqref="N7">
    <cfRule type="containsText" dxfId="2" priority="3" operator="containsText" text="플레이어">
      <formula>NOT(ISERROR(SEARCH("플레이어",N7)))</formula>
    </cfRule>
    <cfRule type="containsText" dxfId="1" priority="2" operator="containsText" text="뱅커">
      <formula>NOT(ISERROR(SEARCH("뱅커",N7)))</formula>
    </cfRule>
    <cfRule type="containsText" dxfId="0" priority="1" operator="containsText" text="플레이어">
      <formula>NOT(ISERROR(SEARCH("플레이어",N7)))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7" r:id="rId3" name="Button 53">
              <controlPr defaultSize="0" print="0" autoFill="0" autoPict="0" macro="[0]!기록하기">
                <anchor moveWithCells="1" sizeWithCells="1">
                  <from>
                    <xdr:col>4</xdr:col>
                    <xdr:colOff>609600</xdr:colOff>
                    <xdr:row>1</xdr:row>
                    <xdr:rowOff>7620</xdr:rowOff>
                  </from>
                  <to>
                    <xdr:col>6</xdr:col>
                    <xdr:colOff>426720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4" name="Button 308">
              <controlPr defaultSize="0" print="0" autoFill="0" autoPict="0" macro="[0]!초기화">
                <anchor moveWithCells="1" sizeWithCells="1">
                  <from>
                    <xdr:col>11</xdr:col>
                    <xdr:colOff>624840</xdr:colOff>
                    <xdr:row>1</xdr:row>
                    <xdr:rowOff>15240</xdr:rowOff>
                  </from>
                  <to>
                    <xdr:col>13</xdr:col>
                    <xdr:colOff>403860</xdr:colOff>
                    <xdr:row>2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C56FC-002F-4321-9014-41D9D2797148}">
  <sheetPr codeName="Sheet2"/>
  <dimension ref="C5:E6"/>
  <sheetViews>
    <sheetView topLeftCell="AN128" workbookViewId="0">
      <selection activeCell="C3" sqref="C3:BC147"/>
    </sheetView>
  </sheetViews>
  <sheetFormatPr defaultRowHeight="17.399999999999999" x14ac:dyDescent="0.4"/>
  <sheetData>
    <row r="5" spans="3:5" x14ac:dyDescent="0.4">
      <c r="C5" s="11" t="s">
        <v>24</v>
      </c>
      <c r="D5" s="10" t="s">
        <v>22</v>
      </c>
      <c r="E5" s="11" t="s">
        <v>24</v>
      </c>
    </row>
    <row r="6" spans="3:5" x14ac:dyDescent="0.4">
      <c r="E6" s="11" t="s">
        <v>24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2026-04-23T00:43:04Z</dcterms:created>
  <dcterms:modified xsi:type="dcterms:W3CDTF">2026-04-27T12:32:27Z</dcterms:modified>
</cp:coreProperties>
</file>